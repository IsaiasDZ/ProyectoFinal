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249CEC31-E429-4923-ADCB-BB83B49FE9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Gant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1" l="1"/>
  <c r="F9" i="1"/>
  <c r="K7" i="1"/>
  <c r="I7" i="1"/>
  <c r="K6" i="1"/>
  <c r="I6" i="1"/>
  <c r="K5" i="1"/>
  <c r="I5" i="1"/>
  <c r="K4" i="1"/>
  <c r="I4" i="1"/>
  <c r="B12" i="1" s="1"/>
  <c r="F4" i="1"/>
  <c r="D5" i="1" l="1"/>
  <c r="F5" i="1" l="1"/>
  <c r="D6" i="1" l="1"/>
  <c r="F6" i="1" l="1"/>
  <c r="D7" i="1" l="1"/>
  <c r="F7" i="1" l="1"/>
  <c r="N2" i="1"/>
  <c r="BA7" i="1" s="1"/>
  <c r="B13" i="1"/>
  <c r="AZ7" i="1" l="1"/>
  <c r="BF7" i="1"/>
  <c r="AN7" i="1"/>
  <c r="S7" i="1"/>
  <c r="AI7" i="1"/>
  <c r="AY7" i="1"/>
  <c r="BD7" i="1"/>
  <c r="AC7" i="1"/>
  <c r="AS7" i="1"/>
  <c r="X7" i="1"/>
  <c r="N7" i="1"/>
  <c r="AD7" i="1"/>
  <c r="AT7" i="1"/>
  <c r="P7" i="1"/>
  <c r="AV7" i="1"/>
  <c r="W7" i="1"/>
  <c r="AM7" i="1"/>
  <c r="BC7" i="1"/>
  <c r="Q7" i="1"/>
  <c r="AG7" i="1"/>
  <c r="AW7" i="1"/>
  <c r="AP7" i="1"/>
  <c r="R7" i="1"/>
  <c r="AX7" i="1"/>
  <c r="AB7" i="1"/>
  <c r="AA7" i="1"/>
  <c r="BG7" i="1"/>
  <c r="U7" i="1"/>
  <c r="AK7" i="1"/>
  <c r="BG4" i="1"/>
  <c r="BC4" i="1"/>
  <c r="AY4" i="1"/>
  <c r="AU4" i="1"/>
  <c r="AQ4" i="1"/>
  <c r="AM4" i="1"/>
  <c r="AI4" i="1"/>
  <c r="AE4" i="1"/>
  <c r="AA4" i="1"/>
  <c r="W4" i="1"/>
  <c r="S4" i="1"/>
  <c r="O4" i="1"/>
  <c r="AL4" i="1"/>
  <c r="V4" i="1"/>
  <c r="BE4" i="1"/>
  <c r="BA4" i="1"/>
  <c r="AW4" i="1"/>
  <c r="AS4" i="1"/>
  <c r="AO4" i="1"/>
  <c r="AK4" i="1"/>
  <c r="AG4" i="1"/>
  <c r="AC4" i="1"/>
  <c r="Y4" i="1"/>
  <c r="U4" i="1"/>
  <c r="Q4" i="1"/>
  <c r="BF4" i="1"/>
  <c r="AX4" i="1"/>
  <c r="AP4" i="1"/>
  <c r="AD4" i="1"/>
  <c r="R4" i="1"/>
  <c r="BD4" i="1"/>
  <c r="AZ4" i="1"/>
  <c r="AV4" i="1"/>
  <c r="AR4" i="1"/>
  <c r="AN4" i="1"/>
  <c r="AJ4" i="1"/>
  <c r="AF4" i="1"/>
  <c r="AB4" i="1"/>
  <c r="X4" i="1"/>
  <c r="T4" i="1"/>
  <c r="P4" i="1"/>
  <c r="BB4" i="1"/>
  <c r="AT4" i="1"/>
  <c r="AH4" i="1"/>
  <c r="Z4" i="1"/>
  <c r="N4" i="1"/>
  <c r="BE5" i="1"/>
  <c r="AO5" i="1"/>
  <c r="Y5" i="1"/>
  <c r="AN5" i="1"/>
  <c r="BC5" i="1"/>
  <c r="AM5" i="1"/>
  <c r="W5" i="1"/>
  <c r="AR5" i="1"/>
  <c r="BF5" i="1"/>
  <c r="AP5" i="1"/>
  <c r="Z5" i="1"/>
  <c r="BD5" i="1"/>
  <c r="P5" i="1"/>
  <c r="AK5" i="1"/>
  <c r="U5" i="1"/>
  <c r="AB5" i="1"/>
  <c r="AY5" i="1"/>
  <c r="AI5" i="1"/>
  <c r="S5" i="1"/>
  <c r="BB5" i="1"/>
  <c r="AL5" i="1"/>
  <c r="V5" i="1"/>
  <c r="AV5" i="1"/>
  <c r="AC5" i="1"/>
  <c r="AQ5" i="1"/>
  <c r="BA5" i="1"/>
  <c r="AF5" i="1"/>
  <c r="AZ5" i="1"/>
  <c r="AT5" i="1"/>
  <c r="N5" i="1"/>
  <c r="AW5" i="1"/>
  <c r="AG5" i="1"/>
  <c r="Q5" i="1"/>
  <c r="AU5" i="1"/>
  <c r="AE5" i="1"/>
  <c r="O5" i="1"/>
  <c r="T5" i="1"/>
  <c r="AX5" i="1"/>
  <c r="AH5" i="1"/>
  <c r="R5" i="1"/>
  <c r="AJ5" i="1"/>
  <c r="AS5" i="1"/>
  <c r="BG5" i="1"/>
  <c r="AA5" i="1"/>
  <c r="AD5" i="1"/>
  <c r="X5" i="1"/>
  <c r="BG6" i="1"/>
  <c r="AQ6" i="1"/>
  <c r="AA6" i="1"/>
  <c r="N6" i="1"/>
  <c r="AS6" i="1"/>
  <c r="AC6" i="1"/>
  <c r="BB6" i="1"/>
  <c r="BD6" i="1"/>
  <c r="AN6" i="1"/>
  <c r="X6" i="1"/>
  <c r="AL6" i="1"/>
  <c r="BF6" i="1"/>
  <c r="AO6" i="1"/>
  <c r="AT6" i="1"/>
  <c r="AJ6" i="1"/>
  <c r="AD6" i="1"/>
  <c r="BC6" i="1"/>
  <c r="AM6" i="1"/>
  <c r="W6" i="1"/>
  <c r="BE6" i="1"/>
  <c r="Y6" i="1"/>
  <c r="AZ6" i="1"/>
  <c r="T6" i="1"/>
  <c r="AY6" i="1"/>
  <c r="AI6" i="1"/>
  <c r="S6" i="1"/>
  <c r="AP6" i="1"/>
  <c r="BA6" i="1"/>
  <c r="AK6" i="1"/>
  <c r="U6" i="1"/>
  <c r="AH6" i="1"/>
  <c r="AV6" i="1"/>
  <c r="AF6" i="1"/>
  <c r="P6" i="1"/>
  <c r="R6" i="1"/>
  <c r="AU6" i="1"/>
  <c r="AE6" i="1"/>
  <c r="O6" i="1"/>
  <c r="Z6" i="1"/>
  <c r="AW6" i="1"/>
  <c r="AG6" i="1"/>
  <c r="Q6" i="1"/>
  <c r="V6" i="1"/>
  <c r="AR6" i="1"/>
  <c r="AB6" i="1"/>
  <c r="AX6" i="1"/>
  <c r="Z7" i="1"/>
  <c r="AJ7" i="1"/>
  <c r="AH7" i="1"/>
  <c r="B14" i="1"/>
  <c r="B11" i="1"/>
  <c r="AQ7" i="1"/>
  <c r="AR7" i="1"/>
  <c r="V7" i="1"/>
  <c r="AL7" i="1"/>
  <c r="BB7" i="1"/>
  <c r="AF7" i="1"/>
  <c r="O7" i="1"/>
  <c r="AE7" i="1"/>
  <c r="AU7" i="1"/>
  <c r="T7" i="1"/>
  <c r="Y7" i="1"/>
  <c r="AO7" i="1"/>
  <c r="BE7" i="1"/>
</calcChain>
</file>

<file path=xl/sharedStrings.xml><?xml version="1.0" encoding="utf-8"?>
<sst xmlns="http://schemas.openxmlformats.org/spreadsheetml/2006/main" count="42" uniqueCount="38">
  <si>
    <t>DIAGRAMA DE GANTT - PROYECTO FINAL AUDITORÍA EN INFORMÁTICA (IA-241, GRUPO 3)</t>
  </si>
  <si>
    <t>Fecha base:</t>
  </si>
  <si>
    <t>ID</t>
  </si>
  <si>
    <t>Proceso</t>
  </si>
  <si>
    <t>Dueño</t>
  </si>
  <si>
    <t>Fecha Inicio</t>
  </si>
  <si>
    <t>Duración (días)</t>
  </si>
  <si>
    <t>Fecha Fin</t>
  </si>
  <si>
    <t>Costo Unitario</t>
  </si>
  <si>
    <t>Recursos</t>
  </si>
  <si>
    <t>Costo Total</t>
  </si>
  <si>
    <t>% Avance</t>
  </si>
  <si>
    <t>Estado</t>
  </si>
  <si>
    <t>LÍNEA DE TIEMPO (días)</t>
  </si>
  <si>
    <t>P001</t>
  </si>
  <si>
    <t>Redes y Telecomunicaciones</t>
  </si>
  <si>
    <t>Cristopher Adriano Rivera</t>
  </si>
  <si>
    <t>P002</t>
  </si>
  <si>
    <t>Sistemas Operativos y Almacenamiento</t>
  </si>
  <si>
    <t>Yarleny Hernandez Cerrato</t>
  </si>
  <si>
    <t>P003</t>
  </si>
  <si>
    <t>Motores de Bases de Datos</t>
  </si>
  <si>
    <t>Daniel Aviles Diaz</t>
  </si>
  <si>
    <t>P004</t>
  </si>
  <si>
    <t>Programación y Desarrollo de Aplicaciones</t>
  </si>
  <si>
    <t>Howkims Lobo Alvarado</t>
  </si>
  <si>
    <t>RESUMEN DEL PROYECTO</t>
  </si>
  <si>
    <t>Fecha Actual:</t>
  </si>
  <si>
    <t>Total Procesos:</t>
  </si>
  <si>
    <t>Duración Total:</t>
  </si>
  <si>
    <t>días</t>
  </si>
  <si>
    <t>Costo Total:</t>
  </si>
  <si>
    <t>Fecha Inicio:</t>
  </si>
  <si>
    <t>Fecha Fin:</t>
  </si>
  <si>
    <t>LEYENDA DE ESTADOS:</t>
  </si>
  <si>
    <t>No iniciado</t>
  </si>
  <si>
    <t>En progreso</t>
  </si>
  <si>
    <t>Completado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</si>
</sst>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L#,##0.00"/>
    <numFmt numFmtId="166" formatCode=";;;"/>
  </numFmts>
  <fonts count="11" x14ac:knownFonts="1">
    <font>
      <sz val="11"/>
      <color theme="1"/>
      <name val="Aptos Narrow"/>
      <family val="2"/>
      <charset val="1"/>
    </font>
    <font>
      <b/>
      <sz val="16"/>
      <color rgb="FFFFFFFF"/>
      <name val="Aptos Narrow"/>
      <family val="2"/>
      <charset val="1"/>
    </font>
    <font>
      <b/>
      <sz val="11"/>
      <color theme="1"/>
      <name val="Aptos Narrow"/>
      <family val="2"/>
      <charset val="1"/>
    </font>
    <font>
      <b/>
      <sz val="11"/>
      <color rgb="FFFFFFFF"/>
      <name val="Aptos Narrow"/>
      <family val="2"/>
      <charset val="1"/>
    </font>
    <font>
      <b/>
      <sz val="9"/>
      <color rgb="FFFFFFFF"/>
      <name val="Aptos Narrow"/>
      <family val="2"/>
      <charset val="1"/>
    </font>
    <font>
      <sz val="8"/>
      <color theme="1"/>
      <name val="Aptos Narrow"/>
      <family val="2"/>
      <charset val="1"/>
    </font>
    <font>
      <sz val="9"/>
      <color theme="1"/>
      <name val="Aptos Narrow"/>
      <family val="2"/>
      <charset val="1"/>
    </font>
    <font>
      <b/>
      <sz val="12"/>
      <color rgb="FFFFFFFF"/>
      <name val="Aptos Narrow"/>
      <family val="2"/>
      <charset val="1"/>
    </font>
    <font>
      <b/>
      <sz val="8"/>
      <color theme="1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rgb="FF006100"/>
      <name val="Aptos Narrow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D6DCE5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EB9C"/>
      </patternFill>
    </fill>
    <fill>
      <patternFill patternType="solid">
        <fgColor rgb="FFD9D9D9"/>
        <bgColor rgb="FFD6DCE5"/>
      </patternFill>
    </fill>
    <fill>
      <patternFill patternType="solid">
        <fgColor rgb="FFFFEB9C"/>
        <bgColor rgb="FFFFE699"/>
      </patternFill>
    </fill>
    <fill>
      <patternFill patternType="solid">
        <fgColor rgb="FFC6EFCE"/>
        <bgColor rgb="FFD6DCE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7" fillId="2" borderId="6" xfId="0" applyFont="1" applyFill="1" applyBorder="1"/>
    <xf numFmtId="0" fontId="1" fillId="2" borderId="0" xfId="0" applyFont="1" applyFill="1" applyAlignment="1">
      <alignment horizontal="center"/>
    </xf>
    <xf numFmtId="0" fontId="2" fillId="0" borderId="0" xfId="0" applyFont="1"/>
    <xf numFmtId="164" fontId="0" fillId="0" borderId="0" xfId="0" applyNumberFormat="1"/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/>
    </xf>
    <xf numFmtId="0" fontId="5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right"/>
    </xf>
    <xf numFmtId="166" fontId="0" fillId="0" borderId="3" xfId="0" applyNumberFormat="1" applyBorder="1"/>
    <xf numFmtId="166" fontId="0" fillId="0" borderId="4" xfId="0" applyNumberFormat="1" applyBorder="1"/>
    <xf numFmtId="166" fontId="0" fillId="0" borderId="5" xfId="0" applyNumberFormat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9" fontId="0" fillId="5" borderId="1" xfId="0" applyNumberFormat="1" applyFill="1" applyBorder="1" applyAlignment="1">
      <alignment horizontal="center"/>
    </xf>
    <xf numFmtId="164" fontId="0" fillId="6" borderId="0" xfId="0" applyNumberFormat="1" applyFill="1"/>
    <xf numFmtId="0" fontId="2" fillId="0" borderId="2" xfId="0" applyFont="1" applyBorder="1"/>
    <xf numFmtId="0" fontId="8" fillId="0" borderId="2" xfId="0" applyFont="1" applyBorder="1" applyAlignment="1">
      <alignment wrapText="1"/>
    </xf>
    <xf numFmtId="0" fontId="0" fillId="0" borderId="7" xfId="0" applyBorder="1"/>
    <xf numFmtId="165" fontId="0" fillId="0" borderId="0" xfId="0" applyNumberFormat="1"/>
    <xf numFmtId="0" fontId="2" fillId="0" borderId="8" xfId="0" applyFont="1" applyBorder="1"/>
    <xf numFmtId="164" fontId="0" fillId="0" borderId="9" xfId="0" applyNumberFormat="1" applyBorder="1"/>
    <xf numFmtId="0" fontId="0" fillId="0" borderId="10" xfId="0" applyBorder="1"/>
    <xf numFmtId="0" fontId="2" fillId="7" borderId="0" xfId="0" applyFont="1" applyFill="1"/>
    <xf numFmtId="0" fontId="9" fillId="8" borderId="0" xfId="0" applyFont="1" applyFill="1"/>
    <xf numFmtId="0" fontId="10" fillId="9" borderId="0" xfId="0" applyFont="1" applyFill="1"/>
  </cellXfs>
  <cellStyles count="1">
    <cellStyle name="Normal" xfId="0" builtinId="0"/>
  </cellStyles>
  <dxfs count="7">
    <dxf>
      <fill>
        <patternFill>
          <bgColor rgb="FF7030A0"/>
        </patternFill>
      </fill>
    </dxf>
    <dxf>
      <fill>
        <patternFill>
          <bgColor rgb="FFED7D31"/>
        </patternFill>
      </fill>
    </dxf>
    <dxf>
      <fill>
        <patternFill>
          <bgColor rgb="FF70AD47"/>
        </patternFill>
      </fill>
    </dxf>
    <dxf>
      <fill>
        <patternFill>
          <bgColor rgb="FF4472C4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2F2F2"/>
      <rgbColor rgb="FFCCFFFF"/>
      <rgbColor rgb="FF660066"/>
      <rgbColor rgb="FFFF8080"/>
      <rgbColor rgb="FF2E75B6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E6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3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9" sqref="D19"/>
    </sheetView>
  </sheetViews>
  <sheetFormatPr baseColWidth="10" defaultColWidth="10.5546875" defaultRowHeight="14.4" x14ac:dyDescent="0.3"/>
  <cols>
    <col min="1" max="1" width="9.5546875" customWidth="1"/>
    <col min="2" max="2" width="22.88671875" customWidth="1"/>
    <col min="3" max="3" width="19" customWidth="1"/>
    <col min="4" max="4" width="17.109375" customWidth="1"/>
    <col min="5" max="5" width="19" customWidth="1"/>
    <col min="6" max="6" width="17.109375" customWidth="1"/>
    <col min="7" max="7" width="18.109375" customWidth="1"/>
    <col min="8" max="8" width="13.33203125" customWidth="1"/>
    <col min="9" max="9" width="17.109375" customWidth="1"/>
    <col min="10" max="10" width="13.33203125" customWidth="1"/>
    <col min="11" max="11" width="17.109375" customWidth="1"/>
    <col min="12" max="12" width="13" hidden="1" customWidth="1"/>
    <col min="13" max="13" width="16.109375" customWidth="1"/>
    <col min="14" max="58" width="3.44140625" customWidth="1"/>
  </cols>
  <sheetData>
    <row r="1" spans="1:59" ht="30" customHeight="1" x14ac:dyDescent="0.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59" ht="15" customHeight="1" x14ac:dyDescent="0.3">
      <c r="M2" s="3" t="s">
        <v>1</v>
      </c>
      <c r="N2" s="4">
        <f>MIN(D4:D7)</f>
        <v>46224</v>
      </c>
    </row>
    <row r="3" spans="1:59" ht="24.75" customHeight="1" x14ac:dyDescent="0.3">
      <c r="A3" s="5" t="s">
        <v>2</v>
      </c>
      <c r="B3" s="5" t="s">
        <v>3</v>
      </c>
      <c r="C3" s="5" t="s">
        <v>4</v>
      </c>
      <c r="D3" s="6" t="s">
        <v>5</v>
      </c>
      <c r="E3" s="5" t="s">
        <v>6</v>
      </c>
      <c r="F3" s="6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M3" s="7" t="s">
        <v>13</v>
      </c>
      <c r="N3" s="8">
        <v>1</v>
      </c>
      <c r="O3" s="8">
        <v>2</v>
      </c>
      <c r="P3" s="8">
        <v>3</v>
      </c>
      <c r="Q3" s="8">
        <v>4</v>
      </c>
      <c r="R3" s="8">
        <v>5</v>
      </c>
      <c r="S3" s="8">
        <v>6</v>
      </c>
      <c r="T3" s="8">
        <v>7</v>
      </c>
      <c r="U3" s="8">
        <v>8</v>
      </c>
      <c r="V3" s="8">
        <v>9</v>
      </c>
      <c r="W3" s="8">
        <v>10</v>
      </c>
      <c r="X3" s="8">
        <v>11</v>
      </c>
      <c r="Y3" s="8">
        <v>12</v>
      </c>
      <c r="Z3" s="8">
        <v>13</v>
      </c>
      <c r="AA3" s="8">
        <v>14</v>
      </c>
      <c r="AB3" s="8">
        <v>15</v>
      </c>
      <c r="AC3" s="8">
        <v>16</v>
      </c>
      <c r="AD3" s="8">
        <v>17</v>
      </c>
      <c r="AE3" s="8">
        <v>18</v>
      </c>
      <c r="AF3" s="8">
        <v>19</v>
      </c>
      <c r="AG3" s="8">
        <v>20</v>
      </c>
      <c r="AH3" s="8">
        <v>21</v>
      </c>
      <c r="AI3" s="8">
        <v>22</v>
      </c>
      <c r="AJ3" s="8">
        <v>23</v>
      </c>
      <c r="AK3" s="8">
        <v>24</v>
      </c>
      <c r="AL3" s="8">
        <v>25</v>
      </c>
      <c r="AM3" s="8">
        <v>26</v>
      </c>
      <c r="AN3" s="8">
        <v>27</v>
      </c>
      <c r="AO3" s="8">
        <v>28</v>
      </c>
      <c r="AP3" s="8">
        <v>29</v>
      </c>
      <c r="AQ3" s="8">
        <v>30</v>
      </c>
      <c r="AR3" s="8">
        <v>31</v>
      </c>
      <c r="AS3" s="8">
        <v>32</v>
      </c>
      <c r="AT3" s="8">
        <v>33</v>
      </c>
      <c r="AU3" s="8">
        <v>34</v>
      </c>
      <c r="AV3" s="8">
        <v>35</v>
      </c>
      <c r="AW3" s="8">
        <v>36</v>
      </c>
      <c r="AX3" s="8">
        <v>37</v>
      </c>
      <c r="AY3" s="8">
        <v>38</v>
      </c>
      <c r="AZ3" s="8">
        <v>39</v>
      </c>
      <c r="BA3" s="8">
        <v>40</v>
      </c>
      <c r="BB3" s="8">
        <v>41</v>
      </c>
      <c r="BC3" s="8">
        <v>42</v>
      </c>
      <c r="BD3" s="8">
        <v>43</v>
      </c>
      <c r="BE3" s="8">
        <v>44</v>
      </c>
      <c r="BF3" s="8">
        <v>45</v>
      </c>
    </row>
    <row r="4" spans="1:59" ht="21.75" customHeight="1" x14ac:dyDescent="0.3">
      <c r="A4" s="9" t="s">
        <v>14</v>
      </c>
      <c r="B4" s="10" t="s">
        <v>15</v>
      </c>
      <c r="C4" s="10" t="s">
        <v>16</v>
      </c>
      <c r="D4" s="11">
        <v>46224</v>
      </c>
      <c r="E4" s="9">
        <v>2</v>
      </c>
      <c r="F4" s="11">
        <f>D4+E4-1</f>
        <v>46225</v>
      </c>
      <c r="G4" s="12">
        <v>0</v>
      </c>
      <c r="H4" s="9">
        <v>1</v>
      </c>
      <c r="I4" s="12">
        <f>G4*H4*E4</f>
        <v>0</v>
      </c>
      <c r="J4" s="13">
        <v>1</v>
      </c>
      <c r="K4" s="9" t="str">
        <f>IF(J4=0,"No iniciado",IF(J4&lt;1,"En progreso","Completado"))</f>
        <v>Completado</v>
      </c>
      <c r="M4" s="14" t="s">
        <v>15</v>
      </c>
      <c r="N4" s="15">
        <f t="shared" ref="N4:W7" si="0">IF(AND(N$3&gt;=$D4-$N$2+1,N$3&lt;=$F4-$N$2+1),1,"")</f>
        <v>1</v>
      </c>
      <c r="O4" s="16">
        <f t="shared" si="0"/>
        <v>1</v>
      </c>
      <c r="P4" s="16" t="str">
        <f t="shared" si="0"/>
        <v/>
      </c>
      <c r="Q4" s="16" t="str">
        <f t="shared" si="0"/>
        <v/>
      </c>
      <c r="R4" s="16" t="str">
        <f t="shared" si="0"/>
        <v/>
      </c>
      <c r="S4" s="16" t="str">
        <f t="shared" si="0"/>
        <v/>
      </c>
      <c r="T4" s="16" t="str">
        <f t="shared" si="0"/>
        <v/>
      </c>
      <c r="U4" s="16" t="str">
        <f t="shared" si="0"/>
        <v/>
      </c>
      <c r="V4" s="16" t="str">
        <f t="shared" si="0"/>
        <v/>
      </c>
      <c r="W4" s="16" t="str">
        <f t="shared" si="0"/>
        <v/>
      </c>
      <c r="X4" s="16" t="str">
        <f t="shared" ref="X4:AG7" si="1">IF(AND(X$3&gt;=$D4-$N$2+1,X$3&lt;=$F4-$N$2+1),1,"")</f>
        <v/>
      </c>
      <c r="Y4" s="16" t="str">
        <f t="shared" si="1"/>
        <v/>
      </c>
      <c r="Z4" s="16" t="str">
        <f t="shared" si="1"/>
        <v/>
      </c>
      <c r="AA4" s="16" t="str">
        <f t="shared" si="1"/>
        <v/>
      </c>
      <c r="AB4" s="16" t="str">
        <f t="shared" si="1"/>
        <v/>
      </c>
      <c r="AC4" s="16" t="str">
        <f t="shared" si="1"/>
        <v/>
      </c>
      <c r="AD4" s="16" t="str">
        <f t="shared" si="1"/>
        <v/>
      </c>
      <c r="AE4" s="16" t="str">
        <f t="shared" si="1"/>
        <v/>
      </c>
      <c r="AF4" s="16" t="str">
        <f t="shared" si="1"/>
        <v/>
      </c>
      <c r="AG4" s="16" t="str">
        <f t="shared" si="1"/>
        <v/>
      </c>
      <c r="AH4" s="16" t="str">
        <f t="shared" ref="AH4:AQ7" si="2">IF(AND(AH$3&gt;=$D4-$N$2+1,AH$3&lt;=$F4-$N$2+1),1,"")</f>
        <v/>
      </c>
      <c r="AI4" s="16" t="str">
        <f t="shared" si="2"/>
        <v/>
      </c>
      <c r="AJ4" s="16" t="str">
        <f t="shared" si="2"/>
        <v/>
      </c>
      <c r="AK4" s="16" t="str">
        <f t="shared" si="2"/>
        <v/>
      </c>
      <c r="AL4" s="16" t="str">
        <f t="shared" si="2"/>
        <v/>
      </c>
      <c r="AM4" s="16" t="str">
        <f t="shared" si="2"/>
        <v/>
      </c>
      <c r="AN4" s="16" t="str">
        <f t="shared" si="2"/>
        <v/>
      </c>
      <c r="AO4" s="16" t="str">
        <f t="shared" si="2"/>
        <v/>
      </c>
      <c r="AP4" s="16" t="str">
        <f t="shared" si="2"/>
        <v/>
      </c>
      <c r="AQ4" s="16" t="str">
        <f t="shared" si="2"/>
        <v/>
      </c>
      <c r="AR4" s="16" t="str">
        <f t="shared" ref="AR4:BA7" si="3">IF(AND(AR$3&gt;=$D4-$N$2+1,AR$3&lt;=$F4-$N$2+1),1,"")</f>
        <v/>
      </c>
      <c r="AS4" s="16" t="str">
        <f t="shared" si="3"/>
        <v/>
      </c>
      <c r="AT4" s="16" t="str">
        <f t="shared" si="3"/>
        <v/>
      </c>
      <c r="AU4" s="16" t="str">
        <f t="shared" si="3"/>
        <v/>
      </c>
      <c r="AV4" s="16" t="str">
        <f t="shared" si="3"/>
        <v/>
      </c>
      <c r="AW4" s="16" t="str">
        <f t="shared" si="3"/>
        <v/>
      </c>
      <c r="AX4" s="16" t="str">
        <f t="shared" si="3"/>
        <v/>
      </c>
      <c r="AY4" s="16" t="str">
        <f t="shared" si="3"/>
        <v/>
      </c>
      <c r="AZ4" s="16" t="str">
        <f t="shared" si="3"/>
        <v/>
      </c>
      <c r="BA4" s="16" t="str">
        <f t="shared" si="3"/>
        <v/>
      </c>
      <c r="BB4" s="16" t="str">
        <f t="shared" ref="BB4:BG7" si="4">IF(AND(BB$3&gt;=$D4-$N$2+1,BB$3&lt;=$F4-$N$2+1),1,"")</f>
        <v/>
      </c>
      <c r="BC4" s="16" t="str">
        <f t="shared" si="4"/>
        <v/>
      </c>
      <c r="BD4" s="16" t="str">
        <f t="shared" si="4"/>
        <v/>
      </c>
      <c r="BE4" s="16" t="str">
        <f t="shared" si="4"/>
        <v/>
      </c>
      <c r="BF4" s="17" t="str">
        <f t="shared" si="4"/>
        <v/>
      </c>
      <c r="BG4" t="str">
        <f t="shared" si="4"/>
        <v/>
      </c>
    </row>
    <row r="5" spans="1:59" ht="21.75" customHeight="1" x14ac:dyDescent="0.3">
      <c r="A5" s="18" t="s">
        <v>17</v>
      </c>
      <c r="B5" s="19" t="s">
        <v>18</v>
      </c>
      <c r="C5" s="19" t="s">
        <v>19</v>
      </c>
      <c r="D5" s="20">
        <f>F4+1</f>
        <v>46226</v>
      </c>
      <c r="E5" s="18">
        <v>2</v>
      </c>
      <c r="F5" s="20">
        <f>D5+E5-1</f>
        <v>46227</v>
      </c>
      <c r="G5" s="21">
        <v>0</v>
      </c>
      <c r="H5" s="18">
        <v>1</v>
      </c>
      <c r="I5" s="21">
        <f>G5*H5*E5</f>
        <v>0</v>
      </c>
      <c r="J5" s="22">
        <v>1</v>
      </c>
      <c r="K5" s="18" t="str">
        <f>IF(J5=0,"No iniciado",IF(J5&lt;1,"En progreso","Completado"))</f>
        <v>Completado</v>
      </c>
      <c r="M5" s="14" t="s">
        <v>18</v>
      </c>
      <c r="N5" s="15" t="str">
        <f t="shared" si="0"/>
        <v/>
      </c>
      <c r="O5" s="16" t="str">
        <f t="shared" si="0"/>
        <v/>
      </c>
      <c r="P5" s="16">
        <f t="shared" si="0"/>
        <v>1</v>
      </c>
      <c r="Q5" s="16">
        <f t="shared" si="0"/>
        <v>1</v>
      </c>
      <c r="R5" s="16" t="str">
        <f t="shared" si="0"/>
        <v/>
      </c>
      <c r="S5" s="16" t="str">
        <f t="shared" si="0"/>
        <v/>
      </c>
      <c r="T5" s="16" t="str">
        <f t="shared" si="0"/>
        <v/>
      </c>
      <c r="U5" s="16" t="str">
        <f t="shared" si="0"/>
        <v/>
      </c>
      <c r="V5" s="16" t="str">
        <f t="shared" si="0"/>
        <v/>
      </c>
      <c r="W5" s="16" t="str">
        <f t="shared" si="0"/>
        <v/>
      </c>
      <c r="X5" s="16" t="str">
        <f t="shared" si="1"/>
        <v/>
      </c>
      <c r="Y5" s="16" t="str">
        <f t="shared" si="1"/>
        <v/>
      </c>
      <c r="Z5" s="16" t="str">
        <f t="shared" si="1"/>
        <v/>
      </c>
      <c r="AA5" s="16" t="str">
        <f t="shared" si="1"/>
        <v/>
      </c>
      <c r="AB5" s="16" t="str">
        <f t="shared" si="1"/>
        <v/>
      </c>
      <c r="AC5" s="16" t="str">
        <f t="shared" si="1"/>
        <v/>
      </c>
      <c r="AD5" s="16" t="str">
        <f t="shared" si="1"/>
        <v/>
      </c>
      <c r="AE5" s="16" t="str">
        <f t="shared" si="1"/>
        <v/>
      </c>
      <c r="AF5" s="16" t="str">
        <f t="shared" si="1"/>
        <v/>
      </c>
      <c r="AG5" s="16" t="str">
        <f t="shared" si="1"/>
        <v/>
      </c>
      <c r="AH5" s="16" t="str">
        <f t="shared" si="2"/>
        <v/>
      </c>
      <c r="AI5" s="16" t="str">
        <f t="shared" si="2"/>
        <v/>
      </c>
      <c r="AJ5" s="16" t="str">
        <f t="shared" si="2"/>
        <v/>
      </c>
      <c r="AK5" s="16" t="str">
        <f t="shared" si="2"/>
        <v/>
      </c>
      <c r="AL5" s="16" t="str">
        <f t="shared" si="2"/>
        <v/>
      </c>
      <c r="AM5" s="16" t="str">
        <f t="shared" si="2"/>
        <v/>
      </c>
      <c r="AN5" s="16" t="str">
        <f t="shared" si="2"/>
        <v/>
      </c>
      <c r="AO5" s="16" t="str">
        <f t="shared" si="2"/>
        <v/>
      </c>
      <c r="AP5" s="16" t="str">
        <f t="shared" si="2"/>
        <v/>
      </c>
      <c r="AQ5" s="16" t="str">
        <f t="shared" si="2"/>
        <v/>
      </c>
      <c r="AR5" s="16" t="str">
        <f t="shared" si="3"/>
        <v/>
      </c>
      <c r="AS5" s="16" t="str">
        <f t="shared" si="3"/>
        <v/>
      </c>
      <c r="AT5" s="16" t="str">
        <f t="shared" si="3"/>
        <v/>
      </c>
      <c r="AU5" s="16" t="str">
        <f t="shared" si="3"/>
        <v/>
      </c>
      <c r="AV5" s="16" t="str">
        <f t="shared" si="3"/>
        <v/>
      </c>
      <c r="AW5" s="16" t="str">
        <f t="shared" si="3"/>
        <v/>
      </c>
      <c r="AX5" s="16" t="str">
        <f t="shared" si="3"/>
        <v/>
      </c>
      <c r="AY5" s="16" t="str">
        <f t="shared" si="3"/>
        <v/>
      </c>
      <c r="AZ5" s="16" t="str">
        <f t="shared" si="3"/>
        <v/>
      </c>
      <c r="BA5" s="16" t="str">
        <f t="shared" si="3"/>
        <v/>
      </c>
      <c r="BB5" s="16" t="str">
        <f t="shared" si="4"/>
        <v/>
      </c>
      <c r="BC5" s="16" t="str">
        <f t="shared" si="4"/>
        <v/>
      </c>
      <c r="BD5" s="16" t="str">
        <f t="shared" si="4"/>
        <v/>
      </c>
      <c r="BE5" s="16" t="str">
        <f t="shared" si="4"/>
        <v/>
      </c>
      <c r="BF5" s="17" t="str">
        <f t="shared" si="4"/>
        <v/>
      </c>
      <c r="BG5" t="str">
        <f t="shared" si="4"/>
        <v/>
      </c>
    </row>
    <row r="6" spans="1:59" ht="21.75" customHeight="1" x14ac:dyDescent="0.3">
      <c r="A6" s="9" t="s">
        <v>20</v>
      </c>
      <c r="B6" s="10" t="s">
        <v>21</v>
      </c>
      <c r="C6" s="10" t="s">
        <v>22</v>
      </c>
      <c r="D6" s="20">
        <f>F5+1</f>
        <v>46228</v>
      </c>
      <c r="E6" s="9">
        <v>3</v>
      </c>
      <c r="F6" s="11">
        <f>D6+E6-1</f>
        <v>46230</v>
      </c>
      <c r="G6" s="12">
        <v>0</v>
      </c>
      <c r="H6" s="9">
        <v>1</v>
      </c>
      <c r="I6" s="12">
        <f>G6*H6*E6</f>
        <v>0</v>
      </c>
      <c r="J6" s="13">
        <v>1</v>
      </c>
      <c r="K6" s="9" t="str">
        <f>IF(J6=0,"No iniciado",IF(J6&lt;1,"En progreso","Completado"))</f>
        <v>Completado</v>
      </c>
      <c r="M6" s="14" t="s">
        <v>21</v>
      </c>
      <c r="N6" s="15" t="str">
        <f t="shared" si="0"/>
        <v/>
      </c>
      <c r="O6" s="16" t="str">
        <f t="shared" si="0"/>
        <v/>
      </c>
      <c r="P6" s="16" t="str">
        <f t="shared" si="0"/>
        <v/>
      </c>
      <c r="Q6" s="16" t="str">
        <f t="shared" si="0"/>
        <v/>
      </c>
      <c r="R6" s="16">
        <f t="shared" si="0"/>
        <v>1</v>
      </c>
      <c r="S6" s="16">
        <f t="shared" si="0"/>
        <v>1</v>
      </c>
      <c r="T6" s="16">
        <f t="shared" si="0"/>
        <v>1</v>
      </c>
      <c r="U6" s="16" t="str">
        <f t="shared" si="0"/>
        <v/>
      </c>
      <c r="V6" s="16" t="str">
        <f t="shared" si="0"/>
        <v/>
      </c>
      <c r="W6" s="16" t="str">
        <f t="shared" si="0"/>
        <v/>
      </c>
      <c r="X6" s="16" t="str">
        <f t="shared" si="1"/>
        <v/>
      </c>
      <c r="Y6" s="16" t="str">
        <f t="shared" si="1"/>
        <v/>
      </c>
      <c r="Z6" s="16" t="str">
        <f t="shared" si="1"/>
        <v/>
      </c>
      <c r="AA6" s="16" t="str">
        <f t="shared" si="1"/>
        <v/>
      </c>
      <c r="AB6" s="16" t="str">
        <f t="shared" si="1"/>
        <v/>
      </c>
      <c r="AC6" s="16" t="str">
        <f t="shared" si="1"/>
        <v/>
      </c>
      <c r="AD6" s="16" t="str">
        <f t="shared" si="1"/>
        <v/>
      </c>
      <c r="AE6" s="16" t="str">
        <f t="shared" si="1"/>
        <v/>
      </c>
      <c r="AF6" s="16" t="str">
        <f t="shared" si="1"/>
        <v/>
      </c>
      <c r="AG6" s="16" t="str">
        <f t="shared" si="1"/>
        <v/>
      </c>
      <c r="AH6" s="16" t="str">
        <f t="shared" si="2"/>
        <v/>
      </c>
      <c r="AI6" s="16" t="str">
        <f t="shared" si="2"/>
        <v/>
      </c>
      <c r="AJ6" s="16" t="str">
        <f t="shared" si="2"/>
        <v/>
      </c>
      <c r="AK6" s="16" t="str">
        <f t="shared" si="2"/>
        <v/>
      </c>
      <c r="AL6" s="16" t="str">
        <f t="shared" si="2"/>
        <v/>
      </c>
      <c r="AM6" s="16" t="str">
        <f t="shared" si="2"/>
        <v/>
      </c>
      <c r="AN6" s="16" t="str">
        <f t="shared" si="2"/>
        <v/>
      </c>
      <c r="AO6" s="16" t="str">
        <f t="shared" si="2"/>
        <v/>
      </c>
      <c r="AP6" s="16" t="str">
        <f t="shared" si="2"/>
        <v/>
      </c>
      <c r="AQ6" s="16" t="str">
        <f t="shared" si="2"/>
        <v/>
      </c>
      <c r="AR6" s="16" t="str">
        <f t="shared" si="3"/>
        <v/>
      </c>
      <c r="AS6" s="16" t="str">
        <f t="shared" si="3"/>
        <v/>
      </c>
      <c r="AT6" s="16" t="str">
        <f t="shared" si="3"/>
        <v/>
      </c>
      <c r="AU6" s="16" t="str">
        <f t="shared" si="3"/>
        <v/>
      </c>
      <c r="AV6" s="16" t="str">
        <f t="shared" si="3"/>
        <v/>
      </c>
      <c r="AW6" s="16" t="str">
        <f t="shared" si="3"/>
        <v/>
      </c>
      <c r="AX6" s="16" t="str">
        <f t="shared" si="3"/>
        <v/>
      </c>
      <c r="AY6" s="16" t="str">
        <f t="shared" si="3"/>
        <v/>
      </c>
      <c r="AZ6" s="16" t="str">
        <f t="shared" si="3"/>
        <v/>
      </c>
      <c r="BA6" s="16" t="str">
        <f t="shared" si="3"/>
        <v/>
      </c>
      <c r="BB6" s="16" t="str">
        <f t="shared" si="4"/>
        <v/>
      </c>
      <c r="BC6" s="16" t="str">
        <f t="shared" si="4"/>
        <v/>
      </c>
      <c r="BD6" s="16" t="str">
        <f t="shared" si="4"/>
        <v/>
      </c>
      <c r="BE6" s="16" t="str">
        <f t="shared" si="4"/>
        <v/>
      </c>
      <c r="BF6" s="17" t="str">
        <f t="shared" si="4"/>
        <v/>
      </c>
      <c r="BG6" t="str">
        <f t="shared" si="4"/>
        <v/>
      </c>
    </row>
    <row r="7" spans="1:59" ht="21.75" customHeight="1" x14ac:dyDescent="0.3">
      <c r="A7" s="18" t="s">
        <v>23</v>
      </c>
      <c r="B7" s="19" t="s">
        <v>24</v>
      </c>
      <c r="C7" s="19" t="s">
        <v>25</v>
      </c>
      <c r="D7" s="20">
        <f>F6+1</f>
        <v>46231</v>
      </c>
      <c r="E7" s="18">
        <v>4</v>
      </c>
      <c r="F7" s="20">
        <f>D7+E7-1</f>
        <v>46234</v>
      </c>
      <c r="G7" s="21">
        <v>0</v>
      </c>
      <c r="H7" s="18">
        <v>1</v>
      </c>
      <c r="I7" s="21">
        <f>G7*H7*E7</f>
        <v>0</v>
      </c>
      <c r="J7" s="22">
        <v>1</v>
      </c>
      <c r="K7" s="18" t="str">
        <f>IF(J7=0,"No iniciado",IF(J7&lt;1,"En progreso","Completado"))</f>
        <v>Completado</v>
      </c>
      <c r="M7" s="14" t="s">
        <v>24</v>
      </c>
      <c r="N7" s="15" t="str">
        <f t="shared" si="0"/>
        <v/>
      </c>
      <c r="O7" s="16" t="str">
        <f t="shared" si="0"/>
        <v/>
      </c>
      <c r="P7" s="16" t="str">
        <f t="shared" si="0"/>
        <v/>
      </c>
      <c r="Q7" s="16" t="str">
        <f t="shared" si="0"/>
        <v/>
      </c>
      <c r="R7" s="16" t="str">
        <f t="shared" si="0"/>
        <v/>
      </c>
      <c r="S7" s="16" t="str">
        <f t="shared" si="0"/>
        <v/>
      </c>
      <c r="T7" s="16" t="str">
        <f t="shared" si="0"/>
        <v/>
      </c>
      <c r="U7" s="16">
        <f t="shared" si="0"/>
        <v>1</v>
      </c>
      <c r="V7" s="16">
        <f t="shared" si="0"/>
        <v>1</v>
      </c>
      <c r="W7" s="16">
        <f t="shared" si="0"/>
        <v>1</v>
      </c>
      <c r="X7" s="16">
        <f t="shared" si="1"/>
        <v>1</v>
      </c>
      <c r="Y7" s="16" t="str">
        <f t="shared" si="1"/>
        <v/>
      </c>
      <c r="Z7" s="16" t="str">
        <f t="shared" si="1"/>
        <v/>
      </c>
      <c r="AA7" s="16" t="str">
        <f t="shared" si="1"/>
        <v/>
      </c>
      <c r="AB7" s="16" t="str">
        <f t="shared" si="1"/>
        <v/>
      </c>
      <c r="AC7" s="16" t="str">
        <f t="shared" si="1"/>
        <v/>
      </c>
      <c r="AD7" s="16" t="str">
        <f t="shared" si="1"/>
        <v/>
      </c>
      <c r="AE7" s="16" t="str">
        <f t="shared" si="1"/>
        <v/>
      </c>
      <c r="AF7" s="16" t="str">
        <f t="shared" si="1"/>
        <v/>
      </c>
      <c r="AG7" s="16" t="str">
        <f t="shared" si="1"/>
        <v/>
      </c>
      <c r="AH7" s="16" t="str">
        <f t="shared" si="2"/>
        <v/>
      </c>
      <c r="AI7" s="16" t="str">
        <f t="shared" si="2"/>
        <v/>
      </c>
      <c r="AJ7" s="16" t="str">
        <f t="shared" si="2"/>
        <v/>
      </c>
      <c r="AK7" s="16" t="str">
        <f t="shared" si="2"/>
        <v/>
      </c>
      <c r="AL7" s="16" t="str">
        <f t="shared" si="2"/>
        <v/>
      </c>
      <c r="AM7" s="16" t="str">
        <f t="shared" si="2"/>
        <v/>
      </c>
      <c r="AN7" s="16" t="str">
        <f t="shared" si="2"/>
        <v/>
      </c>
      <c r="AO7" s="16" t="str">
        <f t="shared" si="2"/>
        <v/>
      </c>
      <c r="AP7" s="16" t="str">
        <f t="shared" si="2"/>
        <v/>
      </c>
      <c r="AQ7" s="16" t="str">
        <f t="shared" si="2"/>
        <v/>
      </c>
      <c r="AR7" s="16" t="str">
        <f t="shared" si="3"/>
        <v/>
      </c>
      <c r="AS7" s="16" t="str">
        <f t="shared" si="3"/>
        <v/>
      </c>
      <c r="AT7" s="16" t="str">
        <f t="shared" si="3"/>
        <v/>
      </c>
      <c r="AU7" s="16" t="str">
        <f t="shared" si="3"/>
        <v/>
      </c>
      <c r="AV7" s="16" t="str">
        <f t="shared" si="3"/>
        <v/>
      </c>
      <c r="AW7" s="16" t="str">
        <f t="shared" si="3"/>
        <v/>
      </c>
      <c r="AX7" s="16" t="str">
        <f t="shared" si="3"/>
        <v/>
      </c>
      <c r="AY7" s="16" t="str">
        <f t="shared" si="3"/>
        <v/>
      </c>
      <c r="AZ7" s="16" t="str">
        <f t="shared" si="3"/>
        <v/>
      </c>
      <c r="BA7" s="16" t="str">
        <f t="shared" si="3"/>
        <v/>
      </c>
      <c r="BB7" s="16" t="str">
        <f t="shared" si="4"/>
        <v/>
      </c>
      <c r="BC7" s="16" t="str">
        <f t="shared" si="4"/>
        <v/>
      </c>
      <c r="BD7" s="16" t="str">
        <f t="shared" si="4"/>
        <v/>
      </c>
      <c r="BE7" s="16" t="str">
        <f t="shared" si="4"/>
        <v/>
      </c>
      <c r="BF7" s="17" t="str">
        <f t="shared" si="4"/>
        <v/>
      </c>
      <c r="BG7" t="str">
        <f t="shared" si="4"/>
        <v/>
      </c>
    </row>
    <row r="8" spans="1:59" ht="21.75" customHeight="1" x14ac:dyDescent="0.3"/>
    <row r="9" spans="1:59" ht="15" customHeight="1" x14ac:dyDescent="0.3">
      <c r="A9" s="1" t="s">
        <v>26</v>
      </c>
      <c r="B9" s="1"/>
      <c r="C9" s="1"/>
      <c r="E9" s="3" t="s">
        <v>27</v>
      </c>
      <c r="F9" s="23">
        <f ca="1">TODAY()</f>
        <v>46234</v>
      </c>
    </row>
    <row r="10" spans="1:59" ht="15.75" customHeight="1" x14ac:dyDescent="0.3">
      <c r="A10" s="24" t="s">
        <v>28</v>
      </c>
      <c r="B10">
        <f>COUNTA(A4:A7)</f>
        <v>4</v>
      </c>
    </row>
    <row r="11" spans="1:59" ht="20.25" customHeight="1" x14ac:dyDescent="0.3">
      <c r="A11" s="25" t="s">
        <v>29</v>
      </c>
      <c r="B11">
        <f>MAX(F4:F7)-MIN(D4:D7)+1</f>
        <v>11</v>
      </c>
      <c r="C11" s="26" t="s">
        <v>30</v>
      </c>
    </row>
    <row r="12" spans="1:59" ht="23.25" customHeight="1" x14ac:dyDescent="0.3">
      <c r="A12" s="24" t="s">
        <v>31</v>
      </c>
      <c r="B12" s="27">
        <f>SUM(I4:I7)</f>
        <v>0</v>
      </c>
      <c r="C12" s="26"/>
    </row>
    <row r="13" spans="1:59" ht="15" customHeight="1" x14ac:dyDescent="0.3">
      <c r="A13" s="24" t="s">
        <v>32</v>
      </c>
      <c r="B13" s="4">
        <f>MIN(D4:D7)</f>
        <v>46224</v>
      </c>
      <c r="C13" s="26"/>
    </row>
    <row r="14" spans="1:59" ht="15" customHeight="1" x14ac:dyDescent="0.3">
      <c r="A14" s="28" t="s">
        <v>33</v>
      </c>
      <c r="B14" s="29">
        <f>MAX(F4:F7)</f>
        <v>46234</v>
      </c>
      <c r="C14" s="30"/>
    </row>
    <row r="16" spans="1:59" ht="15" customHeight="1" x14ac:dyDescent="0.3">
      <c r="A16" s="3" t="s">
        <v>34</v>
      </c>
    </row>
    <row r="17" spans="1:3" ht="15" customHeight="1" x14ac:dyDescent="0.3">
      <c r="A17" s="31" t="s">
        <v>35</v>
      </c>
      <c r="B17" s="32" t="s">
        <v>36</v>
      </c>
      <c r="C17" s="33" t="s">
        <v>37</v>
      </c>
    </row>
    <row r="19" spans="1:3" ht="15" customHeight="1" x14ac:dyDescent="0.3">
      <c r="A19" s="3"/>
    </row>
    <row r="20" spans="1:3" ht="15" customHeight="1" x14ac:dyDescent="0.3"/>
    <row r="21" spans="1:3" ht="15" customHeight="1" x14ac:dyDescent="0.3"/>
    <row r="22" spans="1:3" ht="15" customHeight="1" x14ac:dyDescent="0.3"/>
    <row r="23" spans="1:3" ht="15" customHeight="1" x14ac:dyDescent="0.3"/>
  </sheetData>
  <mergeCells count="2">
    <mergeCell ref="A1:M1"/>
    <mergeCell ref="A9:C9"/>
  </mergeCells>
  <conditionalFormatting sqref="J4:J7">
    <cfRule type="dataBar" priority="9">
      <dataBar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{43301710-41BD-4652-A0DA-8C30447B8EB2}</x14:id>
        </ext>
      </extLst>
    </cfRule>
  </conditionalFormatting>
  <conditionalFormatting sqref="K4:K7">
    <cfRule type="containsText" dxfId="6" priority="6" operator="containsText" text="No iniciado">
      <formula>NOT(ISERROR(SEARCH("No iniciado",K4)))</formula>
    </cfRule>
    <cfRule type="containsText" dxfId="5" priority="7" operator="containsText" text="En progreso">
      <formula>NOT(ISERROR(SEARCH("En progreso",K4)))</formula>
    </cfRule>
    <cfRule type="containsText" dxfId="4" priority="8" operator="containsText" text="Completado">
      <formula>NOT(ISERROR(SEARCH("Completado",K4)))</formula>
    </cfRule>
  </conditionalFormatting>
  <conditionalFormatting sqref="N4:BF4">
    <cfRule type="cellIs" dxfId="3" priority="2" operator="equal">
      <formula>1</formula>
    </cfRule>
  </conditionalFormatting>
  <conditionalFormatting sqref="N5:BF5">
    <cfRule type="cellIs" dxfId="2" priority="3" operator="equal">
      <formula>1</formula>
    </cfRule>
  </conditionalFormatting>
  <conditionalFormatting sqref="N6:BF6">
    <cfRule type="cellIs" dxfId="1" priority="4" operator="equal">
      <formula>1</formula>
    </cfRule>
  </conditionalFormatting>
  <conditionalFormatting sqref="N7:BF7">
    <cfRule type="cellIs" dxfId="0" priority="5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301710-41BD-4652-A0DA-8C30447B8EB2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63BE7B"/>
            </x14:dataBar>
          </x14:cfRule>
          <xm:sqref>J4:J7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Nohemi Girón Valladares</dc:creator>
  <dc:description/>
  <cp:lastModifiedBy>DANIEL ISAIAS AVILES DIAZ</cp:lastModifiedBy>
  <cp:revision>0</cp:revision>
  <dcterms:created xsi:type="dcterms:W3CDTF">2026-07-16T00:25:02Z</dcterms:created>
  <dcterms:modified xsi:type="dcterms:W3CDTF">2026-08-01T05:55:05Z</dcterms:modified>
  <dc:language>en-US</dc:language>
</cp:coreProperties>
</file>